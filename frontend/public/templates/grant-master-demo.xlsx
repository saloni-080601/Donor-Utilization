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rant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\-mmm\-yyyy"/>
    <numFmt numFmtId="165" formatCode="[&gt;=10000000]##\,##\,##\,##0;[&gt;=100000]##\,##\,##0;##,##0"/>
    <numFmt numFmtId="166" formatCode="mmm\-yyyy"/>
    <numFmt numFmtId="167" formatCode="0.0%"/>
  </numFmts>
  <fonts count="11">
    <font>
      <name val="Calibri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b val="1"/>
      <color theme="1"/>
      <sz val="10"/>
    </font>
    <font>
      <name val="Arial"/>
      <color theme="1"/>
      <sz val="11"/>
    </font>
    <font>
      <name val="Arial"/>
      <color rgb="FF0000FF"/>
      <sz val="10"/>
    </font>
    <font>
      <name val="Arial"/>
      <i val="1"/>
      <color theme="1"/>
      <sz val="10"/>
    </font>
    <font>
      <name val="Arial"/>
      <color rgb="FF008000"/>
      <sz val="10"/>
    </font>
    <font>
      <name val="Arial"/>
      <b val="1"/>
      <color rgb="FF008000"/>
      <sz val="10"/>
    </font>
    <font>
      <name val="Arial"/>
      <i val="1"/>
      <color rgb="FF808080"/>
      <sz val="10"/>
    </font>
    <font>
      <name val="Arial"/>
      <b val="1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bottom" wrapText="1"/>
    </xf>
    <xf numFmtId="164" fontId="5" fillId="0" borderId="0" applyAlignment="1" pivotButton="0" quotePrefix="0" xfId="0">
      <alignment vertical="bottom"/>
    </xf>
    <xf numFmtId="165" fontId="5" fillId="0" borderId="0" applyAlignment="1" pivotButton="0" quotePrefix="0" xfId="0">
      <alignment vertical="bottom"/>
    </xf>
    <xf numFmtId="165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166" fontId="5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0" fontId="7" fillId="0" borderId="0" applyAlignment="1" pivotButton="0" quotePrefix="0" xfId="0">
      <alignment vertical="bottom"/>
    </xf>
    <xf numFmtId="0" fontId="3" fillId="3" borderId="2" applyAlignment="1" pivotButton="0" quotePrefix="0" xfId="0">
      <alignment vertical="bottom"/>
    </xf>
    <xf numFmtId="165" fontId="3" fillId="3" borderId="2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center" vertical="bottom"/>
    </xf>
    <xf numFmtId="0" fontId="4" fillId="3" borderId="2" applyAlignment="1" pivotButton="0" quotePrefix="0" xfId="0">
      <alignment vertical="bottom"/>
    </xf>
    <xf numFmtId="165" fontId="3" fillId="0" borderId="0" applyAlignment="1" pivotButton="0" quotePrefix="0" xfId="0">
      <alignment vertical="bottom"/>
    </xf>
    <xf numFmtId="165" fontId="8" fillId="0" borderId="0" applyAlignment="1" pivotButton="0" quotePrefix="0" xfId="0">
      <alignment vertical="bottom"/>
    </xf>
    <xf numFmtId="167" fontId="3" fillId="0" borderId="0" applyAlignment="1" pivotButton="0" quotePrefix="0" xfId="0">
      <alignment vertical="bottom"/>
    </xf>
    <xf numFmtId="166" fontId="8" fillId="0" borderId="0" applyAlignment="1" pivotButton="0" quotePrefix="0" xfId="0">
      <alignment vertical="bottom"/>
    </xf>
    <xf numFmtId="1" fontId="3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165" fontId="4" fillId="0" borderId="0" applyAlignment="1" pivotButton="0" quotePrefix="0" xfId="0">
      <alignment vertical="bottom"/>
    </xf>
    <xf numFmtId="167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 vertical="bottom"/>
    </xf>
    <xf numFmtId="167" fontId="3" fillId="3" borderId="2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3">
    <dxf>
      <font>
        <b val="1"/>
        <color rgb="FFCC0000"/>
      </font>
      <fill>
        <patternFill patternType="solid">
          <fgColor rgb="FFF4CCCC"/>
          <bgColor rgb="FFF4CCCC"/>
        </patternFill>
      </fill>
      <border/>
    </dxf>
    <dxf>
      <font>
        <b val="1"/>
        <color rgb="FFCC0000"/>
      </font>
      <fill>
        <patternFill/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14.43" defaultRowHeight="15.75" customHeight="1"/>
  <cols>
    <col width="44" customWidth="1" style="31" min="1" max="1"/>
    <col width="12" customWidth="1" style="31" min="2" max="2"/>
    <col width="22" customWidth="1" style="31" min="3" max="3"/>
    <col width="16" customWidth="1" style="31" min="4" max="4"/>
    <col width="14" customWidth="1" style="31" min="5" max="5"/>
    <col width="12" customWidth="1" style="31" min="6" max="9"/>
    <col width="14" customWidth="1" style="31" min="10" max="11"/>
    <col width="8.710000000000001" customWidth="1" style="31" min="12" max="26"/>
  </cols>
  <sheetData>
    <row r="1">
      <c r="A1" s="5" t="inlineStr">
        <is>
          <t>Grant (as in Tally export)</t>
        </is>
      </c>
      <c r="B1" s="5" t="inlineStr">
        <is>
          <t>Donor</t>
        </is>
      </c>
      <c r="C1" s="5" t="inlineStr">
        <is>
          <t>Location</t>
        </is>
      </c>
      <c r="D1" s="5" t="inlineStr">
        <is>
          <t>Approved Grant</t>
        </is>
      </c>
      <c r="E1" s="5" t="inlineStr">
        <is>
          <t>Grant End Date</t>
        </is>
      </c>
      <c r="F1" s="5" t="inlineStr">
        <is>
          <t>In campus pool (Y/N)</t>
        </is>
      </c>
      <c r="G1" s="5" t="inlineStr">
        <is>
          <t>In central pool (Y/N)</t>
        </is>
      </c>
      <c r="H1" s="5" t="inlineStr">
        <is>
          <t>Campus Support %</t>
        </is>
      </c>
      <c r="I1" s="5" t="inlineStr">
        <is>
          <t>Central Support %</t>
        </is>
      </c>
      <c r="J1" s="5" t="inlineStr">
        <is>
          <t>Reporting cycle</t>
        </is>
      </c>
      <c r="K1" s="5" t="inlineStr">
        <is>
          <t>Next report due</t>
        </is>
      </c>
    </row>
    <row r="2">
      <c r="A2" s="2" t="inlineStr">
        <is>
          <t>Donor A - Campus 1</t>
        </is>
      </c>
      <c r="B2" s="10" t="inlineStr">
        <is>
          <t>Donor A</t>
        </is>
      </c>
      <c r="C2" s="10" t="inlineStr">
        <is>
          <t>Campus 1</t>
        </is>
      </c>
      <c r="D2" s="8" t="n">
        <v>6420000</v>
      </c>
      <c r="E2" s="11" t="n">
        <v>46477</v>
      </c>
      <c r="F2" s="10" t="inlineStr">
        <is>
          <t>Y</t>
        </is>
      </c>
      <c r="G2" s="10" t="inlineStr">
        <is>
          <t>Y</t>
        </is>
      </c>
      <c r="H2" s="12">
        <f>IF(F8="Y",D8/SUMIF($F$8:$F$12,"Y",$D$8:$D$12),0)</f>
        <v/>
      </c>
      <c r="I2" s="12">
        <f>IF(G8="Y",D8/SUMIF($G$8:$G$12,"Y",$D$8:$D$12),0)</f>
        <v/>
      </c>
      <c r="J2" s="10" t="inlineStr">
        <is>
          <t>Quarterly</t>
        </is>
      </c>
      <c r="K2" s="7" t="n">
        <v>46325</v>
      </c>
    </row>
    <row r="3">
      <c r="A3" s="2" t="inlineStr">
        <is>
          <t>Donor A - Campus 2</t>
        </is>
      </c>
      <c r="B3" s="10" t="inlineStr">
        <is>
          <t>Donor A</t>
        </is>
      </c>
      <c r="C3" s="10" t="inlineStr">
        <is>
          <t>Campus 2</t>
        </is>
      </c>
      <c r="D3" s="8" t="n">
        <v>4150000</v>
      </c>
      <c r="E3" s="11" t="n">
        <v>46477</v>
      </c>
      <c r="F3" s="10" t="inlineStr">
        <is>
          <t>Y</t>
        </is>
      </c>
      <c r="G3" s="10" t="inlineStr">
        <is>
          <t>Y</t>
        </is>
      </c>
      <c r="H3" s="12">
        <f>IF(F9="Y",D9/SUMIF($F$8:$F$12,"Y",$D$8:$D$12),0)</f>
        <v/>
      </c>
      <c r="I3" s="12">
        <f>IF(G9="Y",D9/SUMIF($G$8:$G$12,"Y",$D$8:$D$12),0)</f>
        <v/>
      </c>
      <c r="J3" s="10" t="inlineStr">
        <is>
          <t>Quarterly</t>
        </is>
      </c>
      <c r="K3" s="7" t="n">
        <v>46325</v>
      </c>
    </row>
    <row r="4">
      <c r="A4" s="2" t="inlineStr">
        <is>
          <t>Donor B - Campus 3</t>
        </is>
      </c>
      <c r="B4" s="10" t="inlineStr">
        <is>
          <t>Donor B</t>
        </is>
      </c>
      <c r="C4" s="10" t="inlineStr">
        <is>
          <t>Campus 3 + Campus 4</t>
        </is>
      </c>
      <c r="D4" s="8" t="n">
        <v>5280000</v>
      </c>
      <c r="E4" s="11" t="n">
        <v>46477</v>
      </c>
      <c r="F4" s="10" t="inlineStr">
        <is>
          <t>Y</t>
        </is>
      </c>
      <c r="G4" s="10" t="inlineStr">
        <is>
          <t>Y</t>
        </is>
      </c>
      <c r="H4" s="12">
        <f>IF(F10="Y",D10/SUMIF($F$8:$F$12,"Y",$D$8:$D$12),0)</f>
        <v/>
      </c>
      <c r="I4" s="12">
        <f>IF(G10="Y",D10/SUMIF($G$8:$G$12,"Y",$D$8:$D$12),0)</f>
        <v/>
      </c>
      <c r="J4" s="10" t="inlineStr">
        <is>
          <t>Half-yearly</t>
        </is>
      </c>
      <c r="K4" s="7" t="n">
        <v>46326</v>
      </c>
    </row>
    <row r="5">
      <c r="A5" s="2" t="inlineStr">
        <is>
          <t>Donor C - Alumni</t>
        </is>
      </c>
      <c r="B5" s="10" t="inlineStr">
        <is>
          <t>Donor C</t>
        </is>
      </c>
      <c r="C5" s="10" t="inlineStr">
        <is>
          <t>Alumni programme</t>
        </is>
      </c>
      <c r="D5" s="8" t="n">
        <v>1800000</v>
      </c>
      <c r="E5" s="11" t="n">
        <v>46477</v>
      </c>
      <c r="F5" s="10" t="inlineStr">
        <is>
          <t>N</t>
        </is>
      </c>
      <c r="G5" s="10" t="inlineStr">
        <is>
          <t>Y</t>
        </is>
      </c>
      <c r="H5" s="12">
        <f>IF(F11="Y",D11/SUMIF($F$8:$F$12,"Y",$D$8:$D$12),0)</f>
        <v/>
      </c>
      <c r="I5" s="12">
        <f>IF(G11="Y",D11/SUMIF($G$8:$G$12,"Y",$D$8:$D$12),0)</f>
        <v/>
      </c>
      <c r="J5" s="10" t="inlineStr">
        <is>
          <t>Monthly</t>
        </is>
      </c>
      <c r="K5" s="7" t="n">
        <v>46310</v>
      </c>
    </row>
    <row r="6">
      <c r="A6" s="2" t="inlineStr">
        <is>
          <t>Other grants in central pool (not in this sample)</t>
        </is>
      </c>
      <c r="B6" s="10" t="inlineStr">
        <is>
          <t>Various</t>
        </is>
      </c>
      <c r="C6" s="10" t="n"/>
      <c r="D6" s="8" t="n">
        <v>9850000</v>
      </c>
      <c r="E6" s="11" t="n"/>
      <c r="F6" s="10" t="inlineStr">
        <is>
          <t>N</t>
        </is>
      </c>
      <c r="G6" s="10" t="inlineStr">
        <is>
          <t>Y</t>
        </is>
      </c>
      <c r="H6" s="12">
        <f>IF(F12="Y",D12/SUMIF($F$8:$F$12,"Y",$D$8:$D$12),0)</f>
        <v/>
      </c>
      <c r="I6" s="12">
        <f>IF(G12="Y",D12/SUMIF($G$8:$G$12,"Y",$D$8:$D$12),0)</f>
        <v/>
      </c>
      <c r="J6" s="10" t="n"/>
      <c r="K6" s="7" t="n"/>
    </row>
    <row r="7">
      <c r="A7" s="3" t="inlineStr">
        <is>
          <t>Check: shares add to 100%</t>
        </is>
      </c>
      <c r="B7" s="4" t="n"/>
      <c r="C7" s="4" t="n"/>
      <c r="D7" s="4" t="n"/>
      <c r="E7" s="4" t="n"/>
      <c r="F7" s="4" t="n"/>
      <c r="G7" s="4" t="n"/>
      <c r="H7" s="12">
        <f>ROUND(SUM(H8:H12),6)</f>
        <v/>
      </c>
      <c r="I7" s="12">
        <f>ROUND(SUM(I8:I12),6)</f>
        <v/>
      </c>
      <c r="J7" s="4" t="n"/>
      <c r="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13" t="inlineStr">
        <is>
          <t>Allocation % = approved grant ÷ total approved grants of the grants in that pool (assumed basis, to confirm with Finance).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2026-10-15T05:18:09Z</dcterms:created>
  <dcterms:modified xsi:type="dcterms:W3CDTF">2026-10-15T05:18:09Z</dcterms:modified>
</cp:coreProperties>
</file>